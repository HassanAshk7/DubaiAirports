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lseSurvey" sheetId="1" state="visible" r:id="rId1"/>
    <sheet xmlns:r="http://schemas.openxmlformats.org/officeDocument/2006/relationships"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+0;-0;0"/>
    <numFmt numFmtId="166" formatCode="0&quot;%&quot;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242424"/>
      <sz val="11"/>
    </font>
    <font>
      <name val="Calibri"/>
      <b val="1"/>
      <color rgb="00B11F4B"/>
      <sz val="18"/>
    </font>
    <font>
      <name val="Calibri"/>
      <color rgb="00595959"/>
      <sz val="10"/>
    </font>
    <font>
      <name val="Calibri"/>
      <b val="1"/>
      <color rgb="00242424"/>
      <sz val="10"/>
    </font>
    <font>
      <name val="Calibri"/>
      <b val="1"/>
      <color rgb="00B11F4B"/>
      <sz val="22"/>
    </font>
    <font>
      <name val="Calibri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B11F4B"/>
      </patternFill>
    </fill>
    <fill>
      <patternFill patternType="solid">
        <fgColor rgb="00F7ED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C2CB"/>
      </left>
      <right style="thin">
        <color rgb="00D9C2CB"/>
      </right>
      <top style="thin">
        <color rgb="00D9C2CB"/>
      </top>
      <bottom style="thin">
        <color rgb="00D9C2CB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166" fontId="2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64" fontId="6" fillId="0" borderId="0" pivotButton="0" quotePrefix="0" xfId="0"/>
    <xf numFmtId="165" fontId="6" fillId="0" borderId="0" pivotButton="0" quotePrefix="0" xfId="0"/>
    <xf numFmtId="3" fontId="6" fillId="0" borderId="0" pivotButton="0" quotePrefix="0" xfId="0"/>
    <xf numFmtId="0" fontId="7" fillId="2" borderId="1" applyAlignment="1" pivotButton="0" quotePrefix="0" xfId="0">
      <alignment horizontal="left"/>
    </xf>
    <xf numFmtId="0" fontId="7" fillId="2" borderId="1" applyAlignment="1" pivotButton="0" quotePrefix="0" xfId="0">
      <alignment horizontal="center"/>
    </xf>
    <xf numFmtId="2" fontId="2" fillId="4" borderId="1" applyAlignment="1" pivotButton="0" quotePrefix="0" xfId="0">
      <alignment horizontal="center" vertical="center"/>
    </xf>
    <xf numFmtId="2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Satisfaction by Touchpoint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'Dashboard'!B8</f>
            </strRef>
          </tx>
          <spPr>
            <a:solidFill xmlns:a="http://schemas.openxmlformats.org/drawingml/2006/main">
              <a:srgbClr val="B11F4B"/>
            </a:solidFill>
            <a:ln xmlns:a="http://schemas.openxmlformats.org/drawingml/2006/main">
              <a:prstDash val="solid"/>
            </a:ln>
          </spPr>
          <cat>
            <numRef>
              <f>'Dashboard'!$A$9:$A$16</f>
            </numRef>
          </cat>
          <val>
            <numRef>
              <f>'Dashboard'!$B$9:$B$16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5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Satisfaction (1-5)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7</row>
      <rowOff>0</rowOff>
    </from>
    <ext cx="648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PulseSurvey" displayName="PulseSurvey" ref="A1:H53" headerRowCount="1">
  <autoFilter ref="A1:H53"/>
  <tableColumns count="8">
    <tableColumn id="1" name="Month"/>
    <tableColumn id="2" name="Terminal"/>
    <tableColumn id="3" name="Touchpoint"/>
    <tableColumn id="4" name="Responses"/>
    <tableColumn id="5" name="SatisfactionScore"/>
    <tableColumn id="6" name="NPS"/>
    <tableColumn id="7" name="AvgWaitMinutes"/>
    <tableColumn id="8" name="WouldRecommendPc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8" customWidth="1" min="3" max="3"/>
    <col width="12" customWidth="1" min="4" max="4"/>
    <col width="16" customWidth="1" min="5" max="5"/>
    <col width="8" customWidth="1" min="6" max="6"/>
    <col width="16" customWidth="1" min="7" max="7"/>
    <col width="18" customWidth="1" min="8" max="8"/>
  </cols>
  <sheetData>
    <row r="1">
      <c r="A1" s="1" t="inlineStr">
        <is>
          <t>Month</t>
        </is>
      </c>
      <c r="B1" s="1" t="inlineStr">
        <is>
          <t>Terminal</t>
        </is>
      </c>
      <c r="C1" s="1" t="inlineStr">
        <is>
          <t>Touchpoint</t>
        </is>
      </c>
      <c r="D1" s="1" t="inlineStr">
        <is>
          <t>Responses</t>
        </is>
      </c>
      <c r="E1" s="1" t="inlineStr">
        <is>
          <t>SatisfactionScore</t>
        </is>
      </c>
      <c r="F1" s="1" t="inlineStr">
        <is>
          <t>NPS</t>
        </is>
      </c>
      <c r="G1" s="1" t="inlineStr">
        <is>
          <t>AvgWaitMinutes</t>
        </is>
      </c>
      <c r="H1" s="1" t="inlineStr">
        <is>
          <t>WouldRecommendPct</t>
        </is>
      </c>
    </row>
    <row r="2">
      <c r="A2" s="2" t="inlineStr">
        <is>
          <t>Jan</t>
        </is>
      </c>
      <c r="B2" s="2" t="inlineStr">
        <is>
          <t>T3</t>
        </is>
      </c>
      <c r="C2" s="3" t="inlineStr">
        <is>
          <t>Check-in</t>
        </is>
      </c>
      <c r="D2" s="4" t="n">
        <v>320</v>
      </c>
      <c r="E2" s="5" t="n">
        <v>4</v>
      </c>
      <c r="F2" s="6" t="n">
        <v>34</v>
      </c>
      <c r="G2" s="5" t="n">
        <v>11</v>
      </c>
      <c r="H2" s="7" t="n">
        <v>72</v>
      </c>
    </row>
    <row r="3">
      <c r="A3" s="8" t="inlineStr">
        <is>
          <t>Jan</t>
        </is>
      </c>
      <c r="B3" s="8" t="inlineStr">
        <is>
          <t>T3</t>
        </is>
      </c>
      <c r="C3" s="9" t="inlineStr">
        <is>
          <t>Security</t>
        </is>
      </c>
      <c r="D3" s="10" t="n">
        <v>300</v>
      </c>
      <c r="E3" s="11" t="n">
        <v>3.8</v>
      </c>
      <c r="F3" s="12" t="n">
        <v>22</v>
      </c>
      <c r="G3" s="11" t="n">
        <v>15</v>
      </c>
      <c r="H3" s="13" t="n">
        <v>68</v>
      </c>
    </row>
    <row r="4">
      <c r="A4" s="2" t="inlineStr">
        <is>
          <t>Jan</t>
        </is>
      </c>
      <c r="B4" s="2" t="inlineStr">
        <is>
          <t>T3</t>
        </is>
      </c>
      <c r="C4" s="3" t="inlineStr">
        <is>
          <t>Wayfinding</t>
        </is>
      </c>
      <c r="D4" s="4" t="n">
        <v>260</v>
      </c>
      <c r="E4" s="5" t="n">
        <v>3.2</v>
      </c>
      <c r="F4" s="6" t="n">
        <v>8</v>
      </c>
      <c r="G4" s="5" t="n">
        <v>7</v>
      </c>
      <c r="H4" s="7" t="n">
        <v>54</v>
      </c>
    </row>
    <row r="5">
      <c r="A5" s="8" t="inlineStr">
        <is>
          <t>Jan</t>
        </is>
      </c>
      <c r="B5" s="8" t="inlineStr">
        <is>
          <t>T3</t>
        </is>
      </c>
      <c r="C5" s="9" t="inlineStr">
        <is>
          <t>Lounge</t>
        </is>
      </c>
      <c r="D5" s="10" t="n">
        <v>180</v>
      </c>
      <c r="E5" s="11" t="n">
        <v>4.2</v>
      </c>
      <c r="F5" s="12" t="n">
        <v>46</v>
      </c>
      <c r="G5" s="11" t="n">
        <v>3</v>
      </c>
      <c r="H5" s="13" t="n">
        <v>76</v>
      </c>
    </row>
    <row r="6">
      <c r="A6" s="2" t="inlineStr">
        <is>
          <t>Jan</t>
        </is>
      </c>
      <c r="B6" s="2" t="inlineStr">
        <is>
          <t>T3</t>
        </is>
      </c>
      <c r="C6" s="3" t="inlineStr">
        <is>
          <t>Boarding</t>
        </is>
      </c>
      <c r="D6" s="4" t="n">
        <v>290</v>
      </c>
      <c r="E6" s="5" t="n">
        <v>4</v>
      </c>
      <c r="F6" s="6" t="n">
        <v>33</v>
      </c>
      <c r="G6" s="5" t="n">
        <v>6</v>
      </c>
      <c r="H6" s="7" t="n">
        <v>72</v>
      </c>
    </row>
    <row r="7">
      <c r="A7" s="8" t="inlineStr">
        <is>
          <t>Jan</t>
        </is>
      </c>
      <c r="B7" s="8" t="inlineStr">
        <is>
          <t>T3</t>
        </is>
      </c>
      <c r="C7" s="9" t="inlineStr">
        <is>
          <t>Baggage</t>
        </is>
      </c>
      <c r="D7" s="10" t="n">
        <v>210</v>
      </c>
      <c r="E7" s="11" t="n">
        <v>3.7</v>
      </c>
      <c r="F7" s="12" t="n">
        <v>18</v>
      </c>
      <c r="G7" s="11" t="n">
        <v>13</v>
      </c>
      <c r="H7" s="13" t="n">
        <v>65</v>
      </c>
    </row>
    <row r="8">
      <c r="A8" s="2" t="inlineStr">
        <is>
          <t>Jan</t>
        </is>
      </c>
      <c r="B8" s="2" t="inlineStr">
        <is>
          <t>T3</t>
        </is>
      </c>
      <c r="C8" s="3" t="inlineStr">
        <is>
          <t>Digital Services</t>
        </is>
      </c>
      <c r="D8" s="4" t="n">
        <v>245</v>
      </c>
      <c r="E8" s="5" t="n">
        <v>4.5</v>
      </c>
      <c r="F8" s="6" t="n">
        <v>62</v>
      </c>
      <c r="G8" s="5" t="n">
        <v>2</v>
      </c>
      <c r="H8" s="7" t="n">
        <v>83</v>
      </c>
    </row>
    <row r="9">
      <c r="A9" s="8" t="inlineStr">
        <is>
          <t>Jan</t>
        </is>
      </c>
      <c r="B9" s="8" t="inlineStr">
        <is>
          <t>T3</t>
        </is>
      </c>
      <c r="C9" s="9" t="inlineStr">
        <is>
          <t>Retail &amp; Dining</t>
        </is>
      </c>
      <c r="D9" s="10" t="n">
        <v>205</v>
      </c>
      <c r="E9" s="11" t="n">
        <v>4.1</v>
      </c>
      <c r="F9" s="12" t="n">
        <v>40</v>
      </c>
      <c r="G9" s="11" t="n">
        <v>4</v>
      </c>
      <c r="H9" s="13" t="n">
        <v>74</v>
      </c>
    </row>
    <row r="10">
      <c r="A10" s="2" t="inlineStr">
        <is>
          <t>Feb</t>
        </is>
      </c>
      <c r="B10" s="2" t="inlineStr">
        <is>
          <t>T3</t>
        </is>
      </c>
      <c r="C10" s="3" t="inlineStr">
        <is>
          <t>Check-in</t>
        </is>
      </c>
      <c r="D10" s="4" t="n">
        <v>330</v>
      </c>
      <c r="E10" s="5" t="n">
        <v>4.1</v>
      </c>
      <c r="F10" s="6" t="n">
        <v>36</v>
      </c>
      <c r="G10" s="5" t="n">
        <v>10.7</v>
      </c>
      <c r="H10" s="7" t="n">
        <v>74</v>
      </c>
    </row>
    <row r="11">
      <c r="A11" s="8" t="inlineStr">
        <is>
          <t>Feb</t>
        </is>
      </c>
      <c r="B11" s="8" t="inlineStr">
        <is>
          <t>T3</t>
        </is>
      </c>
      <c r="C11" s="9" t="inlineStr">
        <is>
          <t>Security</t>
        </is>
      </c>
      <c r="D11" s="10" t="n">
        <v>310</v>
      </c>
      <c r="E11" s="11" t="n">
        <v>3.9</v>
      </c>
      <c r="F11" s="12" t="n">
        <v>24</v>
      </c>
      <c r="G11" s="11" t="n">
        <v>14.7</v>
      </c>
      <c r="H11" s="13" t="n">
        <v>70</v>
      </c>
    </row>
    <row r="12">
      <c r="A12" s="2" t="inlineStr">
        <is>
          <t>Feb</t>
        </is>
      </c>
      <c r="B12" s="2" t="inlineStr">
        <is>
          <t>T3</t>
        </is>
      </c>
      <c r="C12" s="3" t="inlineStr">
        <is>
          <t>Wayfinding</t>
        </is>
      </c>
      <c r="D12" s="4" t="n">
        <v>270</v>
      </c>
      <c r="E12" s="5" t="n">
        <v>3.3</v>
      </c>
      <c r="F12" s="6" t="n">
        <v>10</v>
      </c>
      <c r="G12" s="5" t="n">
        <v>6.7</v>
      </c>
      <c r="H12" s="7" t="n">
        <v>57</v>
      </c>
    </row>
    <row r="13">
      <c r="A13" s="8" t="inlineStr">
        <is>
          <t>Feb</t>
        </is>
      </c>
      <c r="B13" s="8" t="inlineStr">
        <is>
          <t>T3</t>
        </is>
      </c>
      <c r="C13" s="9" t="inlineStr">
        <is>
          <t>Lounge</t>
        </is>
      </c>
      <c r="D13" s="10" t="n">
        <v>190</v>
      </c>
      <c r="E13" s="11" t="n">
        <v>4.3</v>
      </c>
      <c r="F13" s="12" t="n">
        <v>48</v>
      </c>
      <c r="G13" s="11" t="n">
        <v>2.7</v>
      </c>
      <c r="H13" s="13" t="n">
        <v>79</v>
      </c>
    </row>
    <row r="14">
      <c r="A14" s="2" t="inlineStr">
        <is>
          <t>Feb</t>
        </is>
      </c>
      <c r="B14" s="2" t="inlineStr">
        <is>
          <t>T3</t>
        </is>
      </c>
      <c r="C14" s="3" t="inlineStr">
        <is>
          <t>Boarding</t>
        </is>
      </c>
      <c r="D14" s="4" t="n">
        <v>300</v>
      </c>
      <c r="E14" s="5" t="n">
        <v>4.1</v>
      </c>
      <c r="F14" s="6" t="n">
        <v>35</v>
      </c>
      <c r="G14" s="5" t="n">
        <v>5.7</v>
      </c>
      <c r="H14" s="7" t="n">
        <v>74</v>
      </c>
    </row>
    <row r="15">
      <c r="A15" s="8" t="inlineStr">
        <is>
          <t>Feb</t>
        </is>
      </c>
      <c r="B15" s="8" t="inlineStr">
        <is>
          <t>T3</t>
        </is>
      </c>
      <c r="C15" s="9" t="inlineStr">
        <is>
          <t>Baggage</t>
        </is>
      </c>
      <c r="D15" s="10" t="n">
        <v>220</v>
      </c>
      <c r="E15" s="11" t="n">
        <v>3.8</v>
      </c>
      <c r="F15" s="12" t="n">
        <v>20</v>
      </c>
      <c r="G15" s="11" t="n">
        <v>12.7</v>
      </c>
      <c r="H15" s="13" t="n">
        <v>68</v>
      </c>
    </row>
    <row r="16">
      <c r="A16" s="2" t="inlineStr">
        <is>
          <t>Feb</t>
        </is>
      </c>
      <c r="B16" s="2" t="inlineStr">
        <is>
          <t>T3</t>
        </is>
      </c>
      <c r="C16" s="3" t="inlineStr">
        <is>
          <t>Digital Services</t>
        </is>
      </c>
      <c r="D16" s="4" t="n">
        <v>255</v>
      </c>
      <c r="E16" s="5" t="n">
        <v>4.6</v>
      </c>
      <c r="F16" s="6" t="n">
        <v>64</v>
      </c>
      <c r="G16" s="5" t="n">
        <v>1.7</v>
      </c>
      <c r="H16" s="7" t="n">
        <v>85</v>
      </c>
    </row>
    <row r="17">
      <c r="A17" s="8" t="inlineStr">
        <is>
          <t>Feb</t>
        </is>
      </c>
      <c r="B17" s="8" t="inlineStr">
        <is>
          <t>T3</t>
        </is>
      </c>
      <c r="C17" s="9" t="inlineStr">
        <is>
          <t>Retail &amp; Dining</t>
        </is>
      </c>
      <c r="D17" s="10" t="n">
        <v>215</v>
      </c>
      <c r="E17" s="11" t="n">
        <v>4.2</v>
      </c>
      <c r="F17" s="12" t="n">
        <v>42</v>
      </c>
      <c r="G17" s="11" t="n">
        <v>3.7</v>
      </c>
      <c r="H17" s="13" t="n">
        <v>76</v>
      </c>
    </row>
    <row r="18">
      <c r="A18" s="2" t="inlineStr">
        <is>
          <t>Mar</t>
        </is>
      </c>
      <c r="B18" s="2" t="inlineStr">
        <is>
          <t>T3</t>
        </is>
      </c>
      <c r="C18" s="3" t="inlineStr">
        <is>
          <t>Check-in</t>
        </is>
      </c>
      <c r="D18" s="4" t="n">
        <v>340</v>
      </c>
      <c r="E18" s="5" t="n">
        <v>4.1</v>
      </c>
      <c r="F18" s="6" t="n">
        <v>38</v>
      </c>
      <c r="G18" s="5" t="n">
        <v>10.4</v>
      </c>
      <c r="H18" s="7" t="n">
        <v>74</v>
      </c>
    </row>
    <row r="19">
      <c r="A19" s="8" t="inlineStr">
        <is>
          <t>Mar</t>
        </is>
      </c>
      <c r="B19" s="8" t="inlineStr">
        <is>
          <t>T3</t>
        </is>
      </c>
      <c r="C19" s="9" t="inlineStr">
        <is>
          <t>Security</t>
        </is>
      </c>
      <c r="D19" s="10" t="n">
        <v>320</v>
      </c>
      <c r="E19" s="11" t="n">
        <v>3.9</v>
      </c>
      <c r="F19" s="12" t="n">
        <v>26</v>
      </c>
      <c r="G19" s="11" t="n">
        <v>14.4</v>
      </c>
      <c r="H19" s="13" t="n">
        <v>70</v>
      </c>
    </row>
    <row r="20">
      <c r="A20" s="2" t="inlineStr">
        <is>
          <t>Mar</t>
        </is>
      </c>
      <c r="B20" s="2" t="inlineStr">
        <is>
          <t>T3</t>
        </is>
      </c>
      <c r="C20" s="3" t="inlineStr">
        <is>
          <t>Wayfinding</t>
        </is>
      </c>
      <c r="D20" s="4" t="n">
        <v>280</v>
      </c>
      <c r="E20" s="5" t="n">
        <v>3.4</v>
      </c>
      <c r="F20" s="6" t="n">
        <v>12</v>
      </c>
      <c r="G20" s="5" t="n">
        <v>6.4</v>
      </c>
      <c r="H20" s="7" t="n">
        <v>59</v>
      </c>
    </row>
    <row r="21">
      <c r="A21" s="8" t="inlineStr">
        <is>
          <t>Mar</t>
        </is>
      </c>
      <c r="B21" s="8" t="inlineStr">
        <is>
          <t>T3</t>
        </is>
      </c>
      <c r="C21" s="9" t="inlineStr">
        <is>
          <t>Lounge</t>
        </is>
      </c>
      <c r="D21" s="10" t="n">
        <v>200</v>
      </c>
      <c r="E21" s="11" t="n">
        <v>4.3</v>
      </c>
      <c r="F21" s="12" t="n">
        <v>50</v>
      </c>
      <c r="G21" s="11" t="n">
        <v>2.4</v>
      </c>
      <c r="H21" s="13" t="n">
        <v>79</v>
      </c>
    </row>
    <row r="22">
      <c r="A22" s="2" t="inlineStr">
        <is>
          <t>Mar</t>
        </is>
      </c>
      <c r="B22" s="2" t="inlineStr">
        <is>
          <t>T3</t>
        </is>
      </c>
      <c r="C22" s="3" t="inlineStr">
        <is>
          <t>Boarding</t>
        </is>
      </c>
      <c r="D22" s="4" t="n">
        <v>310</v>
      </c>
      <c r="E22" s="5" t="n">
        <v>4.1</v>
      </c>
      <c r="F22" s="6" t="n">
        <v>37</v>
      </c>
      <c r="G22" s="5" t="n">
        <v>5.4</v>
      </c>
      <c r="H22" s="7" t="n">
        <v>74</v>
      </c>
    </row>
    <row r="23">
      <c r="A23" s="8" t="inlineStr">
        <is>
          <t>Mar</t>
        </is>
      </c>
      <c r="B23" s="8" t="inlineStr">
        <is>
          <t>T3</t>
        </is>
      </c>
      <c r="C23" s="9" t="inlineStr">
        <is>
          <t>Baggage</t>
        </is>
      </c>
      <c r="D23" s="10" t="n">
        <v>230</v>
      </c>
      <c r="E23" s="11" t="n">
        <v>3.8</v>
      </c>
      <c r="F23" s="12" t="n">
        <v>22</v>
      </c>
      <c r="G23" s="11" t="n">
        <v>12.4</v>
      </c>
      <c r="H23" s="13" t="n">
        <v>68</v>
      </c>
    </row>
    <row r="24">
      <c r="A24" s="2" t="inlineStr">
        <is>
          <t>Mar</t>
        </is>
      </c>
      <c r="B24" s="2" t="inlineStr">
        <is>
          <t>T3</t>
        </is>
      </c>
      <c r="C24" s="3" t="inlineStr">
        <is>
          <t>Digital Services</t>
        </is>
      </c>
      <c r="D24" s="4" t="n">
        <v>265</v>
      </c>
      <c r="E24" s="5" t="n">
        <v>4.6</v>
      </c>
      <c r="F24" s="6" t="n">
        <v>66</v>
      </c>
      <c r="G24" s="5" t="n">
        <v>1.4</v>
      </c>
      <c r="H24" s="7" t="n">
        <v>85</v>
      </c>
    </row>
    <row r="25">
      <c r="A25" s="8" t="inlineStr">
        <is>
          <t>Mar</t>
        </is>
      </c>
      <c r="B25" s="8" t="inlineStr">
        <is>
          <t>T3</t>
        </is>
      </c>
      <c r="C25" s="9" t="inlineStr">
        <is>
          <t>Retail &amp; Dining</t>
        </is>
      </c>
      <c r="D25" s="10" t="n">
        <v>225</v>
      </c>
      <c r="E25" s="11" t="n">
        <v>4.2</v>
      </c>
      <c r="F25" s="12" t="n">
        <v>44</v>
      </c>
      <c r="G25" s="11" t="n">
        <v>3.4</v>
      </c>
      <c r="H25" s="13" t="n">
        <v>76</v>
      </c>
    </row>
    <row r="26">
      <c r="A26" s="2" t="inlineStr">
        <is>
          <t>Apr</t>
        </is>
      </c>
      <c r="B26" s="2" t="inlineStr">
        <is>
          <t>T3</t>
        </is>
      </c>
      <c r="C26" s="3" t="inlineStr">
        <is>
          <t>Check-in</t>
        </is>
      </c>
      <c r="D26" s="4" t="n">
        <v>350</v>
      </c>
      <c r="E26" s="5" t="n">
        <v>4.2</v>
      </c>
      <c r="F26" s="6" t="n">
        <v>40</v>
      </c>
      <c r="G26" s="5" t="n">
        <v>10.1</v>
      </c>
      <c r="H26" s="7" t="n">
        <v>76</v>
      </c>
    </row>
    <row r="27">
      <c r="A27" s="8" t="inlineStr">
        <is>
          <t>Apr</t>
        </is>
      </c>
      <c r="B27" s="8" t="inlineStr">
        <is>
          <t>T3</t>
        </is>
      </c>
      <c r="C27" s="9" t="inlineStr">
        <is>
          <t>Security</t>
        </is>
      </c>
      <c r="D27" s="10" t="n">
        <v>330</v>
      </c>
      <c r="E27" s="11" t="n">
        <v>4</v>
      </c>
      <c r="F27" s="12" t="n">
        <v>28</v>
      </c>
      <c r="G27" s="11" t="n">
        <v>14.1</v>
      </c>
      <c r="H27" s="13" t="n">
        <v>72</v>
      </c>
    </row>
    <row r="28">
      <c r="A28" s="2" t="inlineStr">
        <is>
          <t>Apr</t>
        </is>
      </c>
      <c r="B28" s="2" t="inlineStr">
        <is>
          <t>T3</t>
        </is>
      </c>
      <c r="C28" s="3" t="inlineStr">
        <is>
          <t>Wayfinding</t>
        </is>
      </c>
      <c r="D28" s="4" t="n">
        <v>290</v>
      </c>
      <c r="E28" s="5" t="n">
        <v>3.4</v>
      </c>
      <c r="F28" s="6" t="n">
        <v>14</v>
      </c>
      <c r="G28" s="5" t="n">
        <v>6.1</v>
      </c>
      <c r="H28" s="7" t="n">
        <v>59</v>
      </c>
    </row>
    <row r="29">
      <c r="A29" s="8" t="inlineStr">
        <is>
          <t>Apr</t>
        </is>
      </c>
      <c r="B29" s="8" t="inlineStr">
        <is>
          <t>T3</t>
        </is>
      </c>
      <c r="C29" s="9" t="inlineStr">
        <is>
          <t>Lounge</t>
        </is>
      </c>
      <c r="D29" s="10" t="n">
        <v>210</v>
      </c>
      <c r="E29" s="11" t="n">
        <v>4.4</v>
      </c>
      <c r="F29" s="12" t="n">
        <v>52</v>
      </c>
      <c r="G29" s="11" t="n">
        <v>2.1</v>
      </c>
      <c r="H29" s="13" t="n">
        <v>81</v>
      </c>
    </row>
    <row r="30">
      <c r="A30" s="2" t="inlineStr">
        <is>
          <t>Apr</t>
        </is>
      </c>
      <c r="B30" s="2" t="inlineStr">
        <is>
          <t>T3</t>
        </is>
      </c>
      <c r="C30" s="3" t="inlineStr">
        <is>
          <t>Boarding</t>
        </is>
      </c>
      <c r="D30" s="4" t="n">
        <v>320</v>
      </c>
      <c r="E30" s="5" t="n">
        <v>4.2</v>
      </c>
      <c r="F30" s="6" t="n">
        <v>39</v>
      </c>
      <c r="G30" s="5" t="n">
        <v>5.1</v>
      </c>
      <c r="H30" s="7" t="n">
        <v>76</v>
      </c>
    </row>
    <row r="31">
      <c r="A31" s="8" t="inlineStr">
        <is>
          <t>Apr</t>
        </is>
      </c>
      <c r="B31" s="8" t="inlineStr">
        <is>
          <t>T3</t>
        </is>
      </c>
      <c r="C31" s="9" t="inlineStr">
        <is>
          <t>Baggage</t>
        </is>
      </c>
      <c r="D31" s="10" t="n">
        <v>240</v>
      </c>
      <c r="E31" s="11" t="n">
        <v>3.9</v>
      </c>
      <c r="F31" s="12" t="n">
        <v>24</v>
      </c>
      <c r="G31" s="11" t="n">
        <v>12.1</v>
      </c>
      <c r="H31" s="13" t="n">
        <v>70</v>
      </c>
    </row>
    <row r="32">
      <c r="A32" s="2" t="inlineStr">
        <is>
          <t>Apr</t>
        </is>
      </c>
      <c r="B32" s="2" t="inlineStr">
        <is>
          <t>T3</t>
        </is>
      </c>
      <c r="C32" s="3" t="inlineStr">
        <is>
          <t>Digital Services</t>
        </is>
      </c>
      <c r="D32" s="4" t="n">
        <v>275</v>
      </c>
      <c r="E32" s="5" t="n">
        <v>4.7</v>
      </c>
      <c r="F32" s="6" t="n">
        <v>68</v>
      </c>
      <c r="G32" s="5" t="n">
        <v>1.1</v>
      </c>
      <c r="H32" s="7" t="n">
        <v>87</v>
      </c>
    </row>
    <row r="33">
      <c r="A33" s="8" t="inlineStr">
        <is>
          <t>Apr</t>
        </is>
      </c>
      <c r="B33" s="8" t="inlineStr">
        <is>
          <t>T3</t>
        </is>
      </c>
      <c r="C33" s="9" t="inlineStr">
        <is>
          <t>Retail &amp; Dining</t>
        </is>
      </c>
      <c r="D33" s="10" t="n">
        <v>235</v>
      </c>
      <c r="E33" s="11" t="n">
        <v>4.3</v>
      </c>
      <c r="F33" s="12" t="n">
        <v>46</v>
      </c>
      <c r="G33" s="11" t="n">
        <v>3.1</v>
      </c>
      <c r="H33" s="13" t="n">
        <v>79</v>
      </c>
    </row>
    <row r="34">
      <c r="A34" s="2" t="inlineStr">
        <is>
          <t>May</t>
        </is>
      </c>
      <c r="B34" s="2" t="inlineStr">
        <is>
          <t>T3</t>
        </is>
      </c>
      <c r="C34" s="3" t="inlineStr">
        <is>
          <t>Check-in</t>
        </is>
      </c>
      <c r="D34" s="4" t="n">
        <v>360</v>
      </c>
      <c r="E34" s="5" t="n">
        <v>4.2</v>
      </c>
      <c r="F34" s="6" t="n">
        <v>42</v>
      </c>
      <c r="G34" s="5" t="n">
        <v>9.800000000000001</v>
      </c>
      <c r="H34" s="7" t="n">
        <v>76</v>
      </c>
    </row>
    <row r="35">
      <c r="A35" s="8" t="inlineStr">
        <is>
          <t>May</t>
        </is>
      </c>
      <c r="B35" s="8" t="inlineStr">
        <is>
          <t>T3</t>
        </is>
      </c>
      <c r="C35" s="9" t="inlineStr">
        <is>
          <t>Security</t>
        </is>
      </c>
      <c r="D35" s="10" t="n">
        <v>340</v>
      </c>
      <c r="E35" s="11" t="n">
        <v>4</v>
      </c>
      <c r="F35" s="12" t="n">
        <v>30</v>
      </c>
      <c r="G35" s="11" t="n">
        <v>13.8</v>
      </c>
      <c r="H35" s="13" t="n">
        <v>72</v>
      </c>
    </row>
    <row r="36">
      <c r="A36" s="2" t="inlineStr">
        <is>
          <t>May</t>
        </is>
      </c>
      <c r="B36" s="2" t="inlineStr">
        <is>
          <t>T3</t>
        </is>
      </c>
      <c r="C36" s="3" t="inlineStr">
        <is>
          <t>Wayfinding</t>
        </is>
      </c>
      <c r="D36" s="4" t="n">
        <v>300</v>
      </c>
      <c r="E36" s="5" t="n">
        <v>3.5</v>
      </c>
      <c r="F36" s="6" t="n">
        <v>16</v>
      </c>
      <c r="G36" s="5" t="n">
        <v>5.8</v>
      </c>
      <c r="H36" s="7" t="n">
        <v>61</v>
      </c>
    </row>
    <row r="37">
      <c r="A37" s="8" t="inlineStr">
        <is>
          <t>May</t>
        </is>
      </c>
      <c r="B37" s="8" t="inlineStr">
        <is>
          <t>T3</t>
        </is>
      </c>
      <c r="C37" s="9" t="inlineStr">
        <is>
          <t>Lounge</t>
        </is>
      </c>
      <c r="D37" s="10" t="n">
        <v>220</v>
      </c>
      <c r="E37" s="11" t="n">
        <v>4.4</v>
      </c>
      <c r="F37" s="12" t="n">
        <v>54</v>
      </c>
      <c r="G37" s="11" t="n">
        <v>1.8</v>
      </c>
      <c r="H37" s="13" t="n">
        <v>81</v>
      </c>
    </row>
    <row r="38">
      <c r="A38" s="2" t="inlineStr">
        <is>
          <t>May</t>
        </is>
      </c>
      <c r="B38" s="2" t="inlineStr">
        <is>
          <t>T3</t>
        </is>
      </c>
      <c r="C38" s="3" t="inlineStr">
        <is>
          <t>Boarding</t>
        </is>
      </c>
      <c r="D38" s="4" t="n">
        <v>330</v>
      </c>
      <c r="E38" s="5" t="n">
        <v>4.2</v>
      </c>
      <c r="F38" s="6" t="n">
        <v>41</v>
      </c>
      <c r="G38" s="5" t="n">
        <v>4.8</v>
      </c>
      <c r="H38" s="7" t="n">
        <v>76</v>
      </c>
    </row>
    <row r="39">
      <c r="A39" s="8" t="inlineStr">
        <is>
          <t>May</t>
        </is>
      </c>
      <c r="B39" s="8" t="inlineStr">
        <is>
          <t>T3</t>
        </is>
      </c>
      <c r="C39" s="9" t="inlineStr">
        <is>
          <t>Baggage</t>
        </is>
      </c>
      <c r="D39" s="10" t="n">
        <v>250</v>
      </c>
      <c r="E39" s="11" t="n">
        <v>3.9</v>
      </c>
      <c r="F39" s="12" t="n">
        <v>26</v>
      </c>
      <c r="G39" s="11" t="n">
        <v>11.8</v>
      </c>
      <c r="H39" s="13" t="n">
        <v>70</v>
      </c>
    </row>
    <row r="40">
      <c r="A40" s="2" t="inlineStr">
        <is>
          <t>May</t>
        </is>
      </c>
      <c r="B40" s="2" t="inlineStr">
        <is>
          <t>T3</t>
        </is>
      </c>
      <c r="C40" s="3" t="inlineStr">
        <is>
          <t>Digital Services</t>
        </is>
      </c>
      <c r="D40" s="4" t="n">
        <v>285</v>
      </c>
      <c r="E40" s="5" t="n">
        <v>4.7</v>
      </c>
      <c r="F40" s="6" t="n">
        <v>70</v>
      </c>
      <c r="G40" s="5" t="n">
        <v>1</v>
      </c>
      <c r="H40" s="7" t="n">
        <v>87</v>
      </c>
    </row>
    <row r="41">
      <c r="A41" s="8" t="inlineStr">
        <is>
          <t>May</t>
        </is>
      </c>
      <c r="B41" s="8" t="inlineStr">
        <is>
          <t>T3</t>
        </is>
      </c>
      <c r="C41" s="9" t="inlineStr">
        <is>
          <t>Retail &amp; Dining</t>
        </is>
      </c>
      <c r="D41" s="10" t="n">
        <v>245</v>
      </c>
      <c r="E41" s="11" t="n">
        <v>4.3</v>
      </c>
      <c r="F41" s="12" t="n">
        <v>48</v>
      </c>
      <c r="G41" s="11" t="n">
        <v>2.8</v>
      </c>
      <c r="H41" s="13" t="n">
        <v>79</v>
      </c>
    </row>
    <row r="42">
      <c r="A42" s="2" t="inlineStr">
        <is>
          <t>Jun</t>
        </is>
      </c>
      <c r="B42" s="2" t="inlineStr">
        <is>
          <t>T3</t>
        </is>
      </c>
      <c r="C42" s="3" t="inlineStr">
        <is>
          <t>Check-in</t>
        </is>
      </c>
      <c r="D42" s="4" t="n">
        <v>370</v>
      </c>
      <c r="E42" s="5" t="n">
        <v>4.3</v>
      </c>
      <c r="F42" s="6" t="n">
        <v>44</v>
      </c>
      <c r="G42" s="5" t="n">
        <v>9.5</v>
      </c>
      <c r="H42" s="7" t="n">
        <v>79</v>
      </c>
    </row>
    <row r="43">
      <c r="A43" s="8" t="inlineStr">
        <is>
          <t>Jun</t>
        </is>
      </c>
      <c r="B43" s="8" t="inlineStr">
        <is>
          <t>T3</t>
        </is>
      </c>
      <c r="C43" s="9" t="inlineStr">
        <is>
          <t>Security</t>
        </is>
      </c>
      <c r="D43" s="10" t="n">
        <v>350</v>
      </c>
      <c r="E43" s="11" t="n">
        <v>4.1</v>
      </c>
      <c r="F43" s="12" t="n">
        <v>32</v>
      </c>
      <c r="G43" s="11" t="n">
        <v>13.5</v>
      </c>
      <c r="H43" s="13" t="n">
        <v>74</v>
      </c>
    </row>
    <row r="44">
      <c r="A44" s="2" t="inlineStr">
        <is>
          <t>Jun</t>
        </is>
      </c>
      <c r="B44" s="2" t="inlineStr">
        <is>
          <t>T3</t>
        </is>
      </c>
      <c r="C44" s="3" t="inlineStr">
        <is>
          <t>Wayfinding</t>
        </is>
      </c>
      <c r="D44" s="4" t="n">
        <v>310</v>
      </c>
      <c r="E44" s="5" t="n">
        <v>3.5</v>
      </c>
      <c r="F44" s="6" t="n">
        <v>18</v>
      </c>
      <c r="G44" s="5" t="n">
        <v>5.5</v>
      </c>
      <c r="H44" s="7" t="n">
        <v>61</v>
      </c>
    </row>
    <row r="45">
      <c r="A45" s="8" t="inlineStr">
        <is>
          <t>Jun</t>
        </is>
      </c>
      <c r="B45" s="8" t="inlineStr">
        <is>
          <t>T3</t>
        </is>
      </c>
      <c r="C45" s="9" t="inlineStr">
        <is>
          <t>Lounge</t>
        </is>
      </c>
      <c r="D45" s="10" t="n">
        <v>230</v>
      </c>
      <c r="E45" s="11" t="n">
        <v>4.5</v>
      </c>
      <c r="F45" s="12" t="n">
        <v>56</v>
      </c>
      <c r="G45" s="11" t="n">
        <v>1.5</v>
      </c>
      <c r="H45" s="13" t="n">
        <v>83</v>
      </c>
    </row>
    <row r="46">
      <c r="A46" s="2" t="inlineStr">
        <is>
          <t>Jun</t>
        </is>
      </c>
      <c r="B46" s="2" t="inlineStr">
        <is>
          <t>T3</t>
        </is>
      </c>
      <c r="C46" s="3" t="inlineStr">
        <is>
          <t>Boarding</t>
        </is>
      </c>
      <c r="D46" s="4" t="n">
        <v>340</v>
      </c>
      <c r="E46" s="5" t="n">
        <v>4.3</v>
      </c>
      <c r="F46" s="6" t="n">
        <v>43</v>
      </c>
      <c r="G46" s="5" t="n">
        <v>4.5</v>
      </c>
      <c r="H46" s="7" t="n">
        <v>79</v>
      </c>
    </row>
    <row r="47">
      <c r="A47" s="8" t="inlineStr">
        <is>
          <t>Jun</t>
        </is>
      </c>
      <c r="B47" s="8" t="inlineStr">
        <is>
          <t>T3</t>
        </is>
      </c>
      <c r="C47" s="9" t="inlineStr">
        <is>
          <t>Baggage</t>
        </is>
      </c>
      <c r="D47" s="10" t="n">
        <v>260</v>
      </c>
      <c r="E47" s="11" t="n">
        <v>4</v>
      </c>
      <c r="F47" s="12" t="n">
        <v>28</v>
      </c>
      <c r="G47" s="11" t="n">
        <v>11.5</v>
      </c>
      <c r="H47" s="13" t="n">
        <v>72</v>
      </c>
    </row>
    <row r="48">
      <c r="A48" s="2" t="inlineStr">
        <is>
          <t>Jun</t>
        </is>
      </c>
      <c r="B48" s="2" t="inlineStr">
        <is>
          <t>T3</t>
        </is>
      </c>
      <c r="C48" s="3" t="inlineStr">
        <is>
          <t>Digital Services</t>
        </is>
      </c>
      <c r="D48" s="4" t="n">
        <v>295</v>
      </c>
      <c r="E48" s="5" t="n">
        <v>4.8</v>
      </c>
      <c r="F48" s="6" t="n">
        <v>72</v>
      </c>
      <c r="G48" s="5" t="n">
        <v>1</v>
      </c>
      <c r="H48" s="7" t="n">
        <v>90</v>
      </c>
    </row>
    <row r="49">
      <c r="A49" s="8" t="inlineStr">
        <is>
          <t>Jun</t>
        </is>
      </c>
      <c r="B49" s="8" t="inlineStr">
        <is>
          <t>T3</t>
        </is>
      </c>
      <c r="C49" s="9" t="inlineStr">
        <is>
          <t>Retail &amp; Dining</t>
        </is>
      </c>
      <c r="D49" s="10" t="n">
        <v>255</v>
      </c>
      <c r="E49" s="11" t="n">
        <v>4.4</v>
      </c>
      <c r="F49" s="12" t="n">
        <v>50</v>
      </c>
      <c r="G49" s="11" t="n">
        <v>2.5</v>
      </c>
      <c r="H49" s="13" t="n">
        <v>81</v>
      </c>
    </row>
    <row r="50">
      <c r="A50" s="2" t="inlineStr">
        <is>
          <t>May</t>
        </is>
      </c>
      <c r="B50" s="2" t="inlineStr">
        <is>
          <t>T1</t>
        </is>
      </c>
      <c r="C50" s="3" t="inlineStr">
        <is>
          <t>Wayfinding</t>
        </is>
      </c>
      <c r="D50" s="4" t="n">
        <v>91</v>
      </c>
      <c r="E50" s="5" t="n">
        <v>3.4</v>
      </c>
      <c r="F50" s="6" t="n">
        <v>13</v>
      </c>
      <c r="G50" s="5" t="n">
        <v>6.8</v>
      </c>
      <c r="H50" s="7" t="n">
        <v>59</v>
      </c>
    </row>
    <row r="51">
      <c r="A51" s="8" t="inlineStr">
        <is>
          <t>Jun</t>
        </is>
      </c>
      <c r="B51" s="8" t="inlineStr">
        <is>
          <t>T1</t>
        </is>
      </c>
      <c r="C51" s="9" t="inlineStr">
        <is>
          <t>Digital Services</t>
        </is>
      </c>
      <c r="D51" s="10" t="n">
        <v>84</v>
      </c>
      <c r="E51" s="11" t="n">
        <v>4.7</v>
      </c>
      <c r="F51" s="12" t="n">
        <v>69</v>
      </c>
      <c r="G51" s="11" t="n">
        <v>1.5</v>
      </c>
      <c r="H51" s="13" t="n">
        <v>87</v>
      </c>
    </row>
    <row r="52">
      <c r="A52" s="2" t="inlineStr">
        <is>
          <t>Apr</t>
        </is>
      </c>
      <c r="B52" s="2" t="inlineStr">
        <is>
          <t>T2</t>
        </is>
      </c>
      <c r="C52" s="3" t="inlineStr">
        <is>
          <t>Security</t>
        </is>
      </c>
      <c r="D52" s="4" t="n">
        <v>135</v>
      </c>
      <c r="E52" s="5" t="n">
        <v>4</v>
      </c>
      <c r="F52" s="6" t="n">
        <v>28</v>
      </c>
      <c r="G52" s="5" t="n">
        <v>14.6</v>
      </c>
      <c r="H52" s="7" t="n">
        <v>72</v>
      </c>
    </row>
    <row r="53">
      <c r="A53" s="8" t="inlineStr">
        <is>
          <t>Mar</t>
        </is>
      </c>
      <c r="B53" s="8" t="inlineStr">
        <is>
          <t>T2</t>
        </is>
      </c>
      <c r="C53" s="9" t="inlineStr">
        <is>
          <t>Lounge</t>
        </is>
      </c>
      <c r="D53" s="10" t="n">
        <v>81</v>
      </c>
      <c r="E53" s="11" t="n">
        <v>4.3</v>
      </c>
      <c r="F53" s="12" t="n">
        <v>50</v>
      </c>
      <c r="G53" s="11" t="n">
        <v>2.9</v>
      </c>
      <c r="H53" s="13" t="n">
        <v>79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4" t="inlineStr">
        <is>
          <t>Passenger Experience Pulse Survey</t>
        </is>
      </c>
    </row>
    <row r="2">
      <c r="A2" s="15" t="inlineStr">
        <is>
          <t>H1 2026  ·  Dubai International (DXB)  ·  synthetic demo data</t>
        </is>
      </c>
    </row>
    <row r="4">
      <c r="A4" s="16" t="inlineStr">
        <is>
          <t>Overall satisfaction (1-5)</t>
        </is>
      </c>
      <c r="C4" s="16" t="inlineStr">
        <is>
          <t>Overall NPS</t>
        </is>
      </c>
      <c r="E4" s="16" t="inlineStr">
        <is>
          <t>Total responses</t>
        </is>
      </c>
      <c r="G4" s="16" t="inlineStr">
        <is>
          <t>Avg wait (minutes)</t>
        </is>
      </c>
    </row>
    <row r="5">
      <c r="A5" s="17">
        <f>ROUND(AVERAGE(PulseSurvey[SatisfactionScore]),1)</f>
        <v/>
      </c>
      <c r="C5" s="18">
        <f>ROUND(AVERAGE(PulseSurvey[NPS]),0)</f>
        <v/>
      </c>
      <c r="E5" s="19">
        <f>SUM(PulseSurvey[Responses])</f>
        <v/>
      </c>
      <c r="G5" s="17">
        <f>ROUND(AVERAGE(PulseSurvey[AvgWaitMinutes]),1)</f>
        <v/>
      </c>
    </row>
    <row r="8">
      <c r="A8" s="20" t="inlineStr">
        <is>
          <t>Touchpoint</t>
        </is>
      </c>
      <c r="B8" s="21" t="inlineStr">
        <is>
          <t>Avg Satisfaction</t>
        </is>
      </c>
      <c r="C8" s="21" t="inlineStr">
        <is>
          <t>Avg NPS</t>
        </is>
      </c>
    </row>
    <row r="9">
      <c r="A9" s="9" t="inlineStr">
        <is>
          <t>Check-in</t>
        </is>
      </c>
      <c r="B9" s="22">
        <f>ROUND(AVERAGEIF(PulseSurvey[Touchpoint],"Check-in",PulseSurvey[SatisfactionScore]),2)</f>
        <v/>
      </c>
      <c r="C9" s="12">
        <f>ROUND(AVERAGEIF(PulseSurvey[Touchpoint],"Check-in",PulseSurvey[NPS]),0)</f>
        <v/>
      </c>
    </row>
    <row r="10">
      <c r="A10" s="3" t="inlineStr">
        <is>
          <t>Security</t>
        </is>
      </c>
      <c r="B10" s="23">
        <f>ROUND(AVERAGEIF(PulseSurvey[Touchpoint],"Security",PulseSurvey[SatisfactionScore]),2)</f>
        <v/>
      </c>
      <c r="C10" s="6">
        <f>ROUND(AVERAGEIF(PulseSurvey[Touchpoint],"Security",PulseSurvey[NPS]),0)</f>
        <v/>
      </c>
    </row>
    <row r="11">
      <c r="A11" s="9" t="inlineStr">
        <is>
          <t>Wayfinding</t>
        </is>
      </c>
      <c r="B11" s="22">
        <f>ROUND(AVERAGEIF(PulseSurvey[Touchpoint],"Wayfinding",PulseSurvey[SatisfactionScore]),2)</f>
        <v/>
      </c>
      <c r="C11" s="12">
        <f>ROUND(AVERAGEIF(PulseSurvey[Touchpoint],"Wayfinding",PulseSurvey[NPS]),0)</f>
        <v/>
      </c>
    </row>
    <row r="12">
      <c r="A12" s="3" t="inlineStr">
        <is>
          <t>Lounge</t>
        </is>
      </c>
      <c r="B12" s="23">
        <f>ROUND(AVERAGEIF(PulseSurvey[Touchpoint],"Lounge",PulseSurvey[SatisfactionScore]),2)</f>
        <v/>
      </c>
      <c r="C12" s="6">
        <f>ROUND(AVERAGEIF(PulseSurvey[Touchpoint],"Lounge",PulseSurvey[NPS]),0)</f>
        <v/>
      </c>
    </row>
    <row r="13">
      <c r="A13" s="9" t="inlineStr">
        <is>
          <t>Boarding</t>
        </is>
      </c>
      <c r="B13" s="22">
        <f>ROUND(AVERAGEIF(PulseSurvey[Touchpoint],"Boarding",PulseSurvey[SatisfactionScore]),2)</f>
        <v/>
      </c>
      <c r="C13" s="12">
        <f>ROUND(AVERAGEIF(PulseSurvey[Touchpoint],"Boarding",PulseSurvey[NPS]),0)</f>
        <v/>
      </c>
    </row>
    <row r="14">
      <c r="A14" s="3" t="inlineStr">
        <is>
          <t>Baggage</t>
        </is>
      </c>
      <c r="B14" s="23">
        <f>ROUND(AVERAGEIF(PulseSurvey[Touchpoint],"Baggage",PulseSurvey[SatisfactionScore]),2)</f>
        <v/>
      </c>
      <c r="C14" s="6">
        <f>ROUND(AVERAGEIF(PulseSurvey[Touchpoint],"Baggage",PulseSurvey[NPS]),0)</f>
        <v/>
      </c>
    </row>
    <row r="15">
      <c r="A15" s="9" t="inlineStr">
        <is>
          <t>Digital Services</t>
        </is>
      </c>
      <c r="B15" s="22">
        <f>ROUND(AVERAGEIF(PulseSurvey[Touchpoint],"Digital Services",PulseSurvey[SatisfactionScore]),2)</f>
        <v/>
      </c>
      <c r="C15" s="12">
        <f>ROUND(AVERAGEIF(PulseSurvey[Touchpoint],"Digital Services",PulseSurvey[NPS]),0)</f>
        <v/>
      </c>
    </row>
    <row r="16">
      <c r="A16" s="3" t="inlineStr">
        <is>
          <t>Retail &amp; Dining</t>
        </is>
      </c>
      <c r="B16" s="23">
        <f>ROUND(AVERAGEIF(PulseSurvey[Touchpoint],"Retail &amp; Dining",PulseSurvey[SatisfactionScore]),2)</f>
        <v/>
      </c>
      <c r="C16" s="6">
        <f>ROUND(AVERAGEIF(PulseSurvey[Touchpoint],"Retail &amp; Dining",PulseSurvey[NPS]),0)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2026-06-22T07:34:56Z</dcterms:created>
  <dcterms:modified xmlns:dcterms="http://purl.org/dc/terms/" xmlns:xsi="http://www.w3.org/2001/XMLSchema-instance" xsi:type="dcterms:W3CDTF">2026-06-22T07:34:58Z</dcterms:modified>
</cp:coreProperties>
</file>